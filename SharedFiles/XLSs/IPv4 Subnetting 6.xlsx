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isel\Downloads\"/>
    </mc:Choice>
  </mc:AlternateContent>
  <xr:revisionPtr revIDLastSave="0" documentId="8_{8A85BF29-0332-4C0B-BA75-8B920D8A335D}" xr6:coauthVersionLast="47" xr6:coauthVersionMax="47" xr10:uidLastSave="{00000000-0000-0000-0000-000000000000}"/>
  <bookViews>
    <workbookView xWindow="-120" yWindow="-120" windowWidth="29040" windowHeight="15720" activeTab="1" xr2:uid="{AEA15692-45BE-424D-89EB-A9B8BC1C711E}"/>
  </bookViews>
  <sheets>
    <sheet name="Tabelle1" sheetId="1" r:id="rId1"/>
    <sheet name="Üb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" i="2" l="1"/>
  <c r="E24" i="2"/>
  <c r="E19" i="2"/>
  <c r="E23" i="2"/>
  <c r="E20" i="2"/>
  <c r="E12" i="2"/>
  <c r="E11" i="2"/>
  <c r="E10" i="2"/>
  <c r="E6" i="2"/>
  <c r="E7" i="2"/>
  <c r="F6" i="2"/>
  <c r="H43" i="2"/>
  <c r="J41" i="2"/>
  <c r="K41" i="2" s="1"/>
  <c r="J40" i="2"/>
  <c r="K40" i="2" s="1"/>
  <c r="J38" i="2"/>
  <c r="K38" i="2" s="1"/>
  <c r="J37" i="2"/>
  <c r="K37" i="2" s="1"/>
  <c r="H40" i="2"/>
  <c r="H37" i="2"/>
  <c r="J34" i="2"/>
  <c r="K34" i="2" s="1"/>
  <c r="J35" i="2"/>
  <c r="K35" i="2" s="1"/>
  <c r="H34" i="2"/>
  <c r="J32" i="2"/>
  <c r="K32" i="2" s="1"/>
  <c r="J31" i="2"/>
  <c r="K31" i="2" s="1"/>
  <c r="H29" i="2"/>
  <c r="D44" i="1"/>
  <c r="C44" i="1"/>
  <c r="B44" i="1"/>
  <c r="E43" i="1"/>
  <c r="D42" i="1"/>
  <c r="C42" i="1"/>
  <c r="B42" i="1"/>
  <c r="E41" i="1"/>
  <c r="D40" i="1"/>
  <c r="C40" i="1"/>
  <c r="B40" i="1"/>
  <c r="E39" i="1"/>
  <c r="E37" i="1"/>
  <c r="E23" i="1"/>
  <c r="E25" i="1"/>
  <c r="E27" i="1"/>
  <c r="E35" i="1"/>
  <c r="E31" i="1"/>
  <c r="E33" i="1"/>
  <c r="D36" i="1"/>
  <c r="C36" i="1"/>
  <c r="B36" i="1"/>
  <c r="D34" i="1"/>
  <c r="C34" i="1"/>
  <c r="B34" i="1"/>
  <c r="D32" i="1"/>
  <c r="C32" i="1"/>
  <c r="B32" i="1"/>
  <c r="D28" i="1"/>
  <c r="C28" i="1"/>
  <c r="B28" i="1"/>
  <c r="D26" i="1"/>
  <c r="C26" i="1"/>
  <c r="B26" i="1"/>
  <c r="D24" i="1"/>
  <c r="C24" i="1"/>
  <c r="B24" i="1"/>
  <c r="D20" i="1"/>
  <c r="C20" i="1"/>
  <c r="B20" i="1"/>
  <c r="D18" i="1"/>
  <c r="C18" i="1"/>
  <c r="B18" i="1"/>
  <c r="D16" i="1"/>
  <c r="C16" i="1"/>
  <c r="B16" i="1"/>
  <c r="D38" i="1"/>
  <c r="C38" i="1"/>
  <c r="B38" i="1"/>
  <c r="D30" i="1"/>
  <c r="C30" i="1"/>
  <c r="B30" i="1"/>
  <c r="D22" i="1"/>
  <c r="C22" i="1"/>
  <c r="B22" i="1"/>
  <c r="D14" i="1"/>
  <c r="C14" i="1"/>
  <c r="B14" i="1"/>
  <c r="E10" i="1"/>
  <c r="D11" i="1"/>
  <c r="C11" i="1"/>
  <c r="B11" i="1"/>
  <c r="D8" i="1"/>
  <c r="C8" i="1"/>
  <c r="B8" i="1"/>
  <c r="F7" i="1"/>
  <c r="J3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2" i="1"/>
  <c r="K2" i="1" s="1"/>
  <c r="I3" i="1"/>
  <c r="I4" i="1"/>
  <c r="I5" i="1"/>
  <c r="I6" i="1"/>
  <c r="I7" i="1"/>
  <c r="I8" i="1"/>
  <c r="I9" i="1"/>
  <c r="I2" i="1"/>
  <c r="E5" i="1"/>
  <c r="D5" i="1"/>
  <c r="C5" i="1"/>
  <c r="B5" i="1"/>
  <c r="C2" i="1"/>
  <c r="D2" i="1"/>
  <c r="E2" i="1"/>
  <c r="B2" i="1"/>
  <c r="K3" i="1" l="1"/>
  <c r="I21" i="1"/>
  <c r="E21" i="1" s="1"/>
  <c r="E29" i="1" s="1"/>
</calcChain>
</file>

<file path=xl/sharedStrings.xml><?xml version="1.0" encoding="utf-8"?>
<sst xmlns="http://schemas.openxmlformats.org/spreadsheetml/2006/main" count="101" uniqueCount="68">
  <si>
    <t>Subnetbits</t>
  </si>
  <si>
    <t>Anzahl von Subnetzen</t>
  </si>
  <si>
    <t>IPs</t>
  </si>
  <si>
    <t>Host</t>
  </si>
  <si>
    <t>1. Subnetz</t>
  </si>
  <si>
    <t>2. Subnetz</t>
  </si>
  <si>
    <t>3. Subnetz</t>
  </si>
  <si>
    <t>4. Subnetz</t>
  </si>
  <si>
    <t>Blocksize/Schrittlänge:</t>
  </si>
  <si>
    <t>1. Host</t>
  </si>
  <si>
    <r>
      <rPr>
        <sz val="11"/>
        <color theme="6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110010</t>
    </r>
  </si>
  <si>
    <r>
      <rPr>
        <sz val="11"/>
        <color theme="6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000000</t>
    </r>
  </si>
  <si>
    <r>
      <rPr>
        <sz val="11"/>
        <color theme="6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000001</t>
    </r>
  </si>
  <si>
    <t>Letzter Host</t>
  </si>
  <si>
    <t>Broadcast</t>
  </si>
  <si>
    <r>
      <rPr>
        <sz val="11"/>
        <color theme="6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111110</t>
    </r>
  </si>
  <si>
    <r>
      <rPr>
        <b/>
        <sz val="11"/>
        <color theme="6"/>
        <rFont val="Aptos Narrow"/>
        <family val="2"/>
        <scheme val="minor"/>
      </rPr>
      <t>00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</si>
  <si>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6"/>
        <rFont val="Aptos Narrow"/>
        <family val="2"/>
        <scheme val="minor"/>
      </rPr>
      <t>01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</si>
  <si>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6"/>
        <rFont val="Aptos Narrow"/>
        <family val="2"/>
        <scheme val="minor"/>
      </rPr>
      <t>10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</si>
  <si>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theme="6"/>
        <rFont val="Aptos Narrow"/>
        <family val="2"/>
        <scheme val="minor"/>
      </rPr>
      <t>11</t>
    </r>
    <r>
      <rPr>
        <b/>
        <sz val="11"/>
        <color theme="1"/>
        <rFont val="Aptos Narrow"/>
        <family val="2"/>
        <scheme val="minor"/>
      </rPr>
      <t>000000</t>
    </r>
  </si>
  <si>
    <r>
      <rPr>
        <sz val="11"/>
        <color theme="6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</si>
  <si>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</si>
  <si>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59999389629810485"/>
        <rFont val="Aptos Narrow"/>
        <family val="2"/>
        <scheme val="minor"/>
      </rPr>
      <t>00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</si>
  <si>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6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</si>
  <si>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</si>
  <si>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59999389629810485"/>
        <rFont val="Aptos Narrow"/>
        <family val="2"/>
        <scheme val="minor"/>
      </rPr>
      <t>10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</si>
  <si>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6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000001</t>
    </r>
  </si>
  <si>
    <r>
      <rPr>
        <sz val="11"/>
        <color theme="6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111110</t>
    </r>
  </si>
  <si>
    <r>
      <rPr>
        <sz val="11"/>
        <color theme="9" tint="0.79998168889431442"/>
        <rFont val="Aptos Narrow"/>
        <family val="2"/>
        <scheme val="minor"/>
      </rPr>
      <t>11</t>
    </r>
    <r>
      <rPr>
        <sz val="11"/>
        <color theme="1" tint="0.499984740745262"/>
        <rFont val="Aptos Narrow"/>
        <family val="2"/>
        <scheme val="minor"/>
      </rPr>
      <t>111111</t>
    </r>
  </si>
  <si>
    <r>
      <rPr>
        <sz val="11"/>
        <color theme="9" tint="0.79998168889431442"/>
        <rFont val="Aptos Narrow"/>
        <family val="2"/>
        <scheme val="minor"/>
      </rPr>
      <t>01</t>
    </r>
    <r>
      <rPr>
        <sz val="11"/>
        <color theme="1" tint="0.499984740745262"/>
        <rFont val="Aptos Narrow"/>
        <family val="2"/>
        <scheme val="minor"/>
      </rPr>
      <t>111111</t>
    </r>
  </si>
  <si>
    <t>Host-IP</t>
  </si>
  <si>
    <t>Subnetz-Maske</t>
  </si>
  <si>
    <t>= 2^7 + 2^6</t>
  </si>
  <si>
    <t>= 2 * 64</t>
  </si>
  <si>
    <t>= 3 * 64</t>
  </si>
  <si>
    <t>= 0 * 64</t>
  </si>
  <si>
    <t>Teile folgendes Netzwerk in 8 gleichgroße Subnetze auf</t>
  </si>
  <si>
    <t>15.</t>
  </si>
  <si>
    <t>Netzwerkaddresse</t>
  </si>
  <si>
    <t>ermittle für das 4. Netzwerk</t>
  </si>
  <si>
    <t>Netzwerkadresse</t>
  </si>
  <si>
    <t>Subnetmaske (dezimal)</t>
  </si>
  <si>
    <t>Anzahl Host-IPs</t>
  </si>
  <si>
    <t>letzer Host</t>
  </si>
  <si>
    <t>Broadcastadresse</t>
  </si>
  <si>
    <t>Liegen folgende IP-Adressen im selben Subnetz</t>
  </si>
  <si>
    <t>Wie viele Subnetze mit mindesten 32 Hosts können gebildet werden?</t>
  </si>
  <si>
    <t>ermittle für das 2. Netzwerk</t>
  </si>
  <si>
    <r>
      <t>= 256 - 2^(8-</t>
    </r>
    <r>
      <rPr>
        <sz val="11"/>
        <color rgb="FF7030A0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</si>
  <si>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Anzahl Subnetze</t>
  </si>
  <si>
    <t>Blocksize/Schrittlänge</t>
  </si>
  <si>
    <t>Netzwerk</t>
  </si>
  <si>
    <t>11111111</t>
  </si>
  <si>
    <t>00000000</t>
  </si>
  <si>
    <r>
      <t>11</t>
    </r>
    <r>
      <rPr>
        <sz val="11"/>
        <color theme="8"/>
        <rFont val="Aptos Narrow"/>
        <family val="2"/>
        <scheme val="minor"/>
      </rPr>
      <t>1</t>
    </r>
    <r>
      <rPr>
        <sz val="11"/>
        <color theme="5"/>
        <rFont val="Aptos Narrow"/>
        <family val="2"/>
        <scheme val="minor"/>
      </rPr>
      <t>00000</t>
    </r>
  </si>
  <si>
    <t>A</t>
  </si>
  <si>
    <t>B</t>
  </si>
  <si>
    <t>C</t>
  </si>
  <si>
    <t>weil:</t>
  </si>
  <si>
    <t>2³ = 8</t>
  </si>
  <si>
    <t>Blocksize</t>
  </si>
  <si>
    <t>Schrittlänge</t>
  </si>
  <si>
    <t>2^5 = 32</t>
  </si>
  <si>
    <t>256 - 32 = 224</t>
  </si>
  <si>
    <t>32 - 2 = 30</t>
  </si>
  <si>
    <t>Wir brauchen Blocksize</t>
  </si>
  <si>
    <t>32 zu klein, weil 
Anzahl Host IPs = Blocksize - 2</t>
  </si>
  <si>
    <t>256 / 64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</si>
</sst>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&quot;.&quot;"/>
    <numFmt numFmtId="165" formatCode="&quot;/&quot;#"/>
    <numFmt numFmtId="167" formatCode="0&quot;.&quot;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/>
    <xf numFmtId="0" fontId="2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0" fontId="0" fillId="3" borderId="0" xfId="0" applyFill="1"/>
    <xf numFmtId="0" fontId="0" fillId="3" borderId="0" xfId="0" quotePrefix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11" fillId="2" borderId="0" xfId="0" applyFont="1" applyFill="1"/>
    <xf numFmtId="49" fontId="0" fillId="0" borderId="0" xfId="0" quotePrefix="1" applyNumberForma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0" fillId="0" borderId="0" xfId="0" applyNumberFormat="1"/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073A-0788-469C-8863-9F0681ED1447}">
  <dimension ref="A1:K44"/>
  <sheetViews>
    <sheetView zoomScale="160" zoomScaleNormal="160" workbookViewId="0">
      <selection activeCell="H5" sqref="H5"/>
    </sheetView>
  </sheetViews>
  <sheetFormatPr baseColWidth="10" defaultRowHeight="15" outlineLevelRow="1" x14ac:dyDescent="0.25"/>
  <cols>
    <col min="1" max="1" width="11.42578125" style="21"/>
    <col min="6" max="6" width="13.28515625" bestFit="1" customWidth="1"/>
    <col min="9" max="9" width="19" bestFit="1" customWidth="1"/>
  </cols>
  <sheetData>
    <row r="1" spans="1:11" x14ac:dyDescent="0.25">
      <c r="A1" s="36" t="s">
        <v>30</v>
      </c>
      <c r="B1" s="1">
        <v>192</v>
      </c>
      <c r="C1" s="1">
        <v>168</v>
      </c>
      <c r="D1" s="1">
        <v>178</v>
      </c>
      <c r="E1" s="12">
        <v>50</v>
      </c>
      <c r="F1" s="30">
        <v>24</v>
      </c>
      <c r="H1" t="s">
        <v>0</v>
      </c>
      <c r="I1" t="s">
        <v>1</v>
      </c>
      <c r="J1" t="s">
        <v>2</v>
      </c>
      <c r="K1" t="s">
        <v>3</v>
      </c>
    </row>
    <row r="2" spans="1:11" x14ac:dyDescent="0.25">
      <c r="A2" s="36"/>
      <c r="B2" s="6" t="str">
        <f>DEC2BIN(B1,8)</f>
        <v>11000000</v>
      </c>
      <c r="C2" s="6" t="str">
        <f t="shared" ref="C2:E2" si="0">DEC2BIN(C1,8)</f>
        <v>10101000</v>
      </c>
      <c r="D2" s="6" t="str">
        <f t="shared" si="0"/>
        <v>10110010</v>
      </c>
      <c r="E2" s="13" t="str">
        <f t="shared" si="0"/>
        <v>00110010</v>
      </c>
      <c r="H2">
        <v>1</v>
      </c>
      <c r="I2">
        <f>2^H2</f>
        <v>2</v>
      </c>
      <c r="J2">
        <f>2^(8-H2)</f>
        <v>128</v>
      </c>
      <c r="K2">
        <f>J2-2</f>
        <v>126</v>
      </c>
    </row>
    <row r="3" spans="1:11" x14ac:dyDescent="0.25">
      <c r="E3" s="14"/>
      <c r="H3" s="25">
        <v>2</v>
      </c>
      <c r="I3" s="3">
        <f t="shared" ref="I3:I9" si="1">2^H3</f>
        <v>4</v>
      </c>
      <c r="J3" s="24">
        <f t="shared" ref="J3:J9" si="2">2^(8-H3)</f>
        <v>64</v>
      </c>
      <c r="K3" s="3">
        <f t="shared" ref="K3:K9" si="3">J3-2</f>
        <v>62</v>
      </c>
    </row>
    <row r="4" spans="1:11" x14ac:dyDescent="0.25">
      <c r="A4" s="35" t="s">
        <v>31</v>
      </c>
      <c r="B4" s="1">
        <v>255</v>
      </c>
      <c r="C4" s="1">
        <v>255</v>
      </c>
      <c r="D4" s="1">
        <v>255</v>
      </c>
      <c r="E4" s="12">
        <v>0</v>
      </c>
      <c r="F4" s="2"/>
      <c r="H4">
        <v>3</v>
      </c>
      <c r="I4">
        <f t="shared" si="1"/>
        <v>8</v>
      </c>
      <c r="J4">
        <f t="shared" si="2"/>
        <v>32</v>
      </c>
      <c r="K4">
        <f t="shared" si="3"/>
        <v>30</v>
      </c>
    </row>
    <row r="5" spans="1:11" x14ac:dyDescent="0.25">
      <c r="A5" s="35"/>
      <c r="B5" s="6" t="str">
        <f>DEC2BIN(B4,8)</f>
        <v>11111111</v>
      </c>
      <c r="C5" s="6" t="str">
        <f t="shared" ref="C5" si="4">DEC2BIN(C4,8)</f>
        <v>11111111</v>
      </c>
      <c r="D5" s="6" t="str">
        <f t="shared" ref="D5" si="5">DEC2BIN(D4,8)</f>
        <v>11111111</v>
      </c>
      <c r="E5" s="13" t="str">
        <f t="shared" ref="E5" si="6">DEC2BIN(E4,8)</f>
        <v>00000000</v>
      </c>
      <c r="H5">
        <v>4</v>
      </c>
      <c r="I5">
        <f t="shared" si="1"/>
        <v>16</v>
      </c>
      <c r="J5">
        <f t="shared" si="2"/>
        <v>16</v>
      </c>
      <c r="K5">
        <f t="shared" si="3"/>
        <v>14</v>
      </c>
    </row>
    <row r="6" spans="1:11" x14ac:dyDescent="0.25">
      <c r="E6" s="14"/>
      <c r="H6">
        <v>5</v>
      </c>
      <c r="I6">
        <f t="shared" si="1"/>
        <v>32</v>
      </c>
      <c r="J6">
        <f t="shared" si="2"/>
        <v>8</v>
      </c>
      <c r="K6">
        <f t="shared" si="3"/>
        <v>6</v>
      </c>
    </row>
    <row r="7" spans="1:11" x14ac:dyDescent="0.25">
      <c r="A7" s="36" t="s">
        <v>30</v>
      </c>
      <c r="B7" s="1">
        <v>192</v>
      </c>
      <c r="C7" s="1">
        <v>168</v>
      </c>
      <c r="D7" s="1">
        <v>178</v>
      </c>
      <c r="E7" s="12">
        <v>50</v>
      </c>
      <c r="F7" s="31">
        <f>F1+2</f>
        <v>26</v>
      </c>
      <c r="H7">
        <v>6</v>
      </c>
      <c r="I7">
        <f t="shared" si="1"/>
        <v>64</v>
      </c>
      <c r="J7">
        <f t="shared" si="2"/>
        <v>4</v>
      </c>
      <c r="K7">
        <f t="shared" si="3"/>
        <v>2</v>
      </c>
    </row>
    <row r="8" spans="1:11" x14ac:dyDescent="0.25">
      <c r="A8" s="36"/>
      <c r="B8" s="5" t="str">
        <f>DEC2BIN(B7,8)</f>
        <v>11000000</v>
      </c>
      <c r="C8" s="5" t="str">
        <f t="shared" ref="C8" si="7">DEC2BIN(C7,8)</f>
        <v>10101000</v>
      </c>
      <c r="D8" s="5" t="str">
        <f t="shared" ref="D8" si="8">DEC2BIN(D7,8)</f>
        <v>10110010</v>
      </c>
      <c r="E8" s="15" t="s">
        <v>10</v>
      </c>
      <c r="H8" s="4">
        <v>7</v>
      </c>
      <c r="I8" s="4">
        <f t="shared" si="1"/>
        <v>128</v>
      </c>
      <c r="J8" s="4">
        <f t="shared" si="2"/>
        <v>2</v>
      </c>
      <c r="K8" s="4">
        <f t="shared" si="3"/>
        <v>0</v>
      </c>
    </row>
    <row r="9" spans="1:11" x14ac:dyDescent="0.25">
      <c r="E9" s="14"/>
      <c r="H9" s="4">
        <v>8</v>
      </c>
      <c r="I9" s="4">
        <f t="shared" si="1"/>
        <v>256</v>
      </c>
      <c r="J9" s="4">
        <f t="shared" si="2"/>
        <v>1</v>
      </c>
      <c r="K9" s="4">
        <f t="shared" si="3"/>
        <v>-1</v>
      </c>
    </row>
    <row r="10" spans="1:11" x14ac:dyDescent="0.25">
      <c r="A10" s="35" t="s">
        <v>31</v>
      </c>
      <c r="B10" s="1">
        <v>255</v>
      </c>
      <c r="C10" s="1">
        <v>255</v>
      </c>
      <c r="D10" s="1">
        <v>255</v>
      </c>
      <c r="E10" s="12">
        <f>BIN2DEC(E11)</f>
        <v>192</v>
      </c>
      <c r="F10" s="26" t="s">
        <v>48</v>
      </c>
      <c r="G10" s="22" t="s">
        <v>32</v>
      </c>
    </row>
    <row r="11" spans="1:11" x14ac:dyDescent="0.25">
      <c r="A11" s="35"/>
      <c r="B11" s="6" t="str">
        <f>DEC2BIN(B10,8)</f>
        <v>11111111</v>
      </c>
      <c r="C11" s="6" t="str">
        <f t="shared" ref="C11" si="9">DEC2BIN(C10,8)</f>
        <v>11111111</v>
      </c>
      <c r="D11" s="6" t="str">
        <f t="shared" ref="D11" si="10">DEC2BIN(D10,8)</f>
        <v>11111111</v>
      </c>
      <c r="E11" s="13" t="s">
        <v>11</v>
      </c>
    </row>
    <row r="12" spans="1:11" x14ac:dyDescent="0.25">
      <c r="E12" s="14"/>
    </row>
    <row r="13" spans="1:11" x14ac:dyDescent="0.25">
      <c r="A13" s="37" t="s">
        <v>4</v>
      </c>
      <c r="B13" s="8">
        <v>192</v>
      </c>
      <c r="C13" s="8">
        <v>168</v>
      </c>
      <c r="D13" s="8">
        <v>178</v>
      </c>
      <c r="E13" s="27">
        <v>0</v>
      </c>
      <c r="F13" s="32">
        <v>26</v>
      </c>
      <c r="I13" s="28" t="s">
        <v>35</v>
      </c>
    </row>
    <row r="14" spans="1:11" x14ac:dyDescent="0.25">
      <c r="A14" s="37"/>
      <c r="B14" s="9" t="str">
        <f>DEC2BIN(B13,8)</f>
        <v>11000000</v>
      </c>
      <c r="C14" s="9" t="str">
        <f t="shared" ref="C14" si="11">DEC2BIN(C13,8)</f>
        <v>10101000</v>
      </c>
      <c r="D14" s="9" t="str">
        <f t="shared" ref="D14" si="12">DEC2BIN(D13,8)</f>
        <v>10110010</v>
      </c>
      <c r="E14" s="16" t="s">
        <v>16</v>
      </c>
    </row>
    <row r="15" spans="1:11" outlineLevel="1" x14ac:dyDescent="0.25">
      <c r="A15" s="38" t="s">
        <v>9</v>
      </c>
      <c r="B15" s="1">
        <v>192</v>
      </c>
      <c r="C15" s="1">
        <v>168</v>
      </c>
      <c r="D15" s="1">
        <v>178</v>
      </c>
      <c r="E15" s="12">
        <v>1</v>
      </c>
    </row>
    <row r="16" spans="1:11" outlineLevel="1" x14ac:dyDescent="0.25">
      <c r="A16" s="38"/>
      <c r="B16" s="6" t="str">
        <f>DEC2BIN(B15,8)</f>
        <v>11000000</v>
      </c>
      <c r="C16" s="6" t="str">
        <f t="shared" ref="C16" si="13">DEC2BIN(C15,8)</f>
        <v>10101000</v>
      </c>
      <c r="D16" s="6" t="str">
        <f t="shared" ref="D16" si="14">DEC2BIN(D15,8)</f>
        <v>10110010</v>
      </c>
      <c r="E16" s="13" t="s">
        <v>12</v>
      </c>
    </row>
    <row r="17" spans="1:9" outlineLevel="1" x14ac:dyDescent="0.25">
      <c r="A17" s="38" t="s">
        <v>13</v>
      </c>
      <c r="B17" s="1">
        <v>192</v>
      </c>
      <c r="C17" s="1">
        <v>168</v>
      </c>
      <c r="D17" s="1">
        <v>178</v>
      </c>
      <c r="E17" s="12">
        <v>62</v>
      </c>
    </row>
    <row r="18" spans="1:9" outlineLevel="1" x14ac:dyDescent="0.25">
      <c r="A18" s="38"/>
      <c r="B18" s="6" t="str">
        <f>DEC2BIN(B17,8)</f>
        <v>11000000</v>
      </c>
      <c r="C18" s="6" t="str">
        <f t="shared" ref="C18" si="15">DEC2BIN(C17,8)</f>
        <v>10101000</v>
      </c>
      <c r="D18" s="6" t="str">
        <f t="shared" ref="D18" si="16">DEC2BIN(D17,8)</f>
        <v>10110010</v>
      </c>
      <c r="E18" s="13" t="s">
        <v>15</v>
      </c>
    </row>
    <row r="19" spans="1:9" outlineLevel="1" x14ac:dyDescent="0.25">
      <c r="A19" s="39" t="s">
        <v>14</v>
      </c>
      <c r="B19" s="10">
        <v>192</v>
      </c>
      <c r="C19" s="10">
        <v>168</v>
      </c>
      <c r="D19" s="10">
        <v>178</v>
      </c>
      <c r="E19" s="17">
        <v>63</v>
      </c>
    </row>
    <row r="20" spans="1:9" outlineLevel="1" x14ac:dyDescent="0.25">
      <c r="A20" s="39"/>
      <c r="B20" s="11" t="str">
        <f>DEC2BIN(B19,8)</f>
        <v>11000000</v>
      </c>
      <c r="C20" s="11" t="str">
        <f t="shared" ref="C20" si="17">DEC2BIN(C19,8)</f>
        <v>10101000</v>
      </c>
      <c r="D20" s="11" t="str">
        <f t="shared" ref="D20" si="18">DEC2BIN(D19,8)</f>
        <v>10110010</v>
      </c>
      <c r="E20" s="18" t="s">
        <v>22</v>
      </c>
    </row>
    <row r="21" spans="1:9" x14ac:dyDescent="0.25">
      <c r="A21" s="37" t="s">
        <v>5</v>
      </c>
      <c r="B21" s="8">
        <v>192</v>
      </c>
      <c r="C21" s="8">
        <v>168</v>
      </c>
      <c r="D21" s="8">
        <v>178</v>
      </c>
      <c r="E21" s="27">
        <f>E13+I21</f>
        <v>64</v>
      </c>
      <c r="F21" s="32">
        <v>26</v>
      </c>
      <c r="G21" s="34" t="s">
        <v>8</v>
      </c>
      <c r="H21" s="34"/>
      <c r="I21" s="23">
        <f>J3</f>
        <v>64</v>
      </c>
    </row>
    <row r="22" spans="1:9" x14ac:dyDescent="0.25">
      <c r="A22" s="37"/>
      <c r="B22" s="9" t="str">
        <f>DEC2BIN(B21,8)</f>
        <v>11000000</v>
      </c>
      <c r="C22" s="9" t="str">
        <f t="shared" ref="C22" si="19">DEC2BIN(C21,8)</f>
        <v>10101000</v>
      </c>
      <c r="D22" s="9" t="str">
        <f t="shared" ref="D22" si="20">DEC2BIN(D21,8)</f>
        <v>10110010</v>
      </c>
      <c r="E22" s="16" t="s">
        <v>17</v>
      </c>
    </row>
    <row r="23" spans="1:9" outlineLevel="1" x14ac:dyDescent="0.25">
      <c r="A23" s="38" t="s">
        <v>9</v>
      </c>
      <c r="B23" s="1">
        <v>192</v>
      </c>
      <c r="C23" s="1">
        <v>168</v>
      </c>
      <c r="D23" s="1">
        <v>178</v>
      </c>
      <c r="E23" s="12">
        <f>BIN2DEC(E24)</f>
        <v>65</v>
      </c>
    </row>
    <row r="24" spans="1:9" outlineLevel="1" x14ac:dyDescent="0.25">
      <c r="A24" s="38"/>
      <c r="B24" s="6" t="str">
        <f>DEC2BIN(B23,8)</f>
        <v>11000000</v>
      </c>
      <c r="C24" s="6" t="str">
        <f t="shared" ref="C24" si="21">DEC2BIN(C23,8)</f>
        <v>10101000</v>
      </c>
      <c r="D24" s="6" t="str">
        <f t="shared" ref="D24" si="22">DEC2BIN(D23,8)</f>
        <v>10110010</v>
      </c>
      <c r="E24" s="13" t="s">
        <v>20</v>
      </c>
    </row>
    <row r="25" spans="1:9" outlineLevel="1" x14ac:dyDescent="0.25">
      <c r="A25" s="38" t="s">
        <v>13</v>
      </c>
      <c r="B25" s="1">
        <v>192</v>
      </c>
      <c r="C25" s="1">
        <v>168</v>
      </c>
      <c r="D25" s="1">
        <v>178</v>
      </c>
      <c r="E25" s="12">
        <f>BIN2DEC(E26)</f>
        <v>126</v>
      </c>
    </row>
    <row r="26" spans="1:9" outlineLevel="1" x14ac:dyDescent="0.25">
      <c r="A26" s="38"/>
      <c r="B26" s="6" t="str">
        <f>DEC2BIN(B25,8)</f>
        <v>11000000</v>
      </c>
      <c r="C26" s="6" t="str">
        <f t="shared" ref="C26" si="23">DEC2BIN(C25,8)</f>
        <v>10101000</v>
      </c>
      <c r="D26" s="6" t="str">
        <f t="shared" ref="D26" si="24">DEC2BIN(D25,8)</f>
        <v>10110010</v>
      </c>
      <c r="E26" s="13" t="s">
        <v>21</v>
      </c>
    </row>
    <row r="27" spans="1:9" outlineLevel="1" x14ac:dyDescent="0.25">
      <c r="A27" s="39" t="s">
        <v>14</v>
      </c>
      <c r="B27" s="10">
        <v>192</v>
      </c>
      <c r="C27" s="10">
        <v>168</v>
      </c>
      <c r="D27" s="10">
        <v>178</v>
      </c>
      <c r="E27" s="12">
        <f>BIN2DEC(E28)</f>
        <v>127</v>
      </c>
    </row>
    <row r="28" spans="1:9" outlineLevel="1" x14ac:dyDescent="0.25">
      <c r="A28" s="39"/>
      <c r="B28" s="19" t="str">
        <f>DEC2BIN(B27,8)</f>
        <v>11000000</v>
      </c>
      <c r="C28" s="19" t="str">
        <f t="shared" ref="C28" si="25">DEC2BIN(C27,8)</f>
        <v>10101000</v>
      </c>
      <c r="D28" s="19" t="str">
        <f t="shared" ref="D28" si="26">DEC2BIN(D27,8)</f>
        <v>10110010</v>
      </c>
      <c r="E28" s="18" t="s">
        <v>29</v>
      </c>
    </row>
    <row r="29" spans="1:9" x14ac:dyDescent="0.25">
      <c r="A29" s="37" t="s">
        <v>6</v>
      </c>
      <c r="B29" s="8">
        <v>192</v>
      </c>
      <c r="C29" s="8">
        <v>168</v>
      </c>
      <c r="D29" s="8">
        <v>178</v>
      </c>
      <c r="E29" s="27">
        <f>E21+64</f>
        <v>128</v>
      </c>
      <c r="F29" s="32">
        <v>26</v>
      </c>
      <c r="I29" s="28" t="s">
        <v>33</v>
      </c>
    </row>
    <row r="30" spans="1:9" x14ac:dyDescent="0.25">
      <c r="A30" s="37"/>
      <c r="B30" s="9" t="str">
        <f>DEC2BIN(B29,8)</f>
        <v>11000000</v>
      </c>
      <c r="C30" s="9" t="str">
        <f t="shared" ref="C30" si="27">DEC2BIN(C29,8)</f>
        <v>10101000</v>
      </c>
      <c r="D30" s="9" t="str">
        <f t="shared" ref="D30" si="28">DEC2BIN(D29,8)</f>
        <v>10110010</v>
      </c>
      <c r="E30" s="16" t="s">
        <v>18</v>
      </c>
    </row>
    <row r="31" spans="1:9" outlineLevel="1" x14ac:dyDescent="0.25">
      <c r="A31" s="38" t="s">
        <v>9</v>
      </c>
      <c r="B31" s="1">
        <v>192</v>
      </c>
      <c r="C31" s="1">
        <v>168</v>
      </c>
      <c r="D31" s="1">
        <v>178</v>
      </c>
      <c r="E31" s="12">
        <f>BIN2DEC(E32)</f>
        <v>129</v>
      </c>
    </row>
    <row r="32" spans="1:9" outlineLevel="1" x14ac:dyDescent="0.25">
      <c r="A32" s="38"/>
      <c r="B32" s="6" t="str">
        <f>DEC2BIN(B31,8)</f>
        <v>11000000</v>
      </c>
      <c r="C32" s="6" t="str">
        <f t="shared" ref="C32" si="29">DEC2BIN(C31,8)</f>
        <v>10101000</v>
      </c>
      <c r="D32" s="6" t="str">
        <f t="shared" ref="D32" si="30">DEC2BIN(D31,8)</f>
        <v>10110010</v>
      </c>
      <c r="E32" s="13" t="s">
        <v>23</v>
      </c>
    </row>
    <row r="33" spans="1:9" outlineLevel="1" x14ac:dyDescent="0.25">
      <c r="A33" s="38" t="s">
        <v>13</v>
      </c>
      <c r="B33" s="1">
        <v>192</v>
      </c>
      <c r="C33" s="1">
        <v>168</v>
      </c>
      <c r="D33" s="1">
        <v>178</v>
      </c>
      <c r="E33" s="12">
        <f>BIN2DEC(E34)</f>
        <v>190</v>
      </c>
    </row>
    <row r="34" spans="1:9" outlineLevel="1" x14ac:dyDescent="0.25">
      <c r="A34" s="38"/>
      <c r="B34" s="6" t="str">
        <f>DEC2BIN(B33,8)</f>
        <v>11000000</v>
      </c>
      <c r="C34" s="6" t="str">
        <f t="shared" ref="C34" si="31">DEC2BIN(C33,8)</f>
        <v>10101000</v>
      </c>
      <c r="D34" s="6" t="str">
        <f t="shared" ref="D34" si="32">DEC2BIN(D33,8)</f>
        <v>10110010</v>
      </c>
      <c r="E34" s="13" t="s">
        <v>24</v>
      </c>
    </row>
    <row r="35" spans="1:9" outlineLevel="1" x14ac:dyDescent="0.25">
      <c r="A35" s="39" t="s">
        <v>14</v>
      </c>
      <c r="B35" s="10">
        <v>192</v>
      </c>
      <c r="C35" s="10">
        <v>168</v>
      </c>
      <c r="D35" s="10">
        <v>178</v>
      </c>
      <c r="E35" s="12">
        <f>BIN2DEC(E36)</f>
        <v>191</v>
      </c>
    </row>
    <row r="36" spans="1:9" outlineLevel="1" x14ac:dyDescent="0.25">
      <c r="A36" s="39"/>
      <c r="B36" s="11" t="str">
        <f>DEC2BIN(B35,8)</f>
        <v>11000000</v>
      </c>
      <c r="C36" s="11" t="str">
        <f t="shared" ref="C36" si="33">DEC2BIN(C35,8)</f>
        <v>10101000</v>
      </c>
      <c r="D36" s="11" t="str">
        <f t="shared" ref="D36" si="34">DEC2BIN(D35,8)</f>
        <v>10110010</v>
      </c>
      <c r="E36" s="18" t="s">
        <v>25</v>
      </c>
    </row>
    <row r="37" spans="1:9" x14ac:dyDescent="0.25">
      <c r="A37" s="37" t="s">
        <v>7</v>
      </c>
      <c r="B37" s="8">
        <v>192</v>
      </c>
      <c r="C37" s="8">
        <v>168</v>
      </c>
      <c r="D37" s="8">
        <v>178</v>
      </c>
      <c r="E37" s="27">
        <f>BIN2DEC(E38)</f>
        <v>192</v>
      </c>
      <c r="F37" s="32">
        <v>26</v>
      </c>
      <c r="I37" s="28" t="s">
        <v>34</v>
      </c>
    </row>
    <row r="38" spans="1:9" x14ac:dyDescent="0.25">
      <c r="A38" s="37"/>
      <c r="B38" s="9" t="str">
        <f>DEC2BIN(B37,8)</f>
        <v>11000000</v>
      </c>
      <c r="C38" s="9" t="str">
        <f t="shared" ref="C38" si="35">DEC2BIN(C37,8)</f>
        <v>10101000</v>
      </c>
      <c r="D38" s="9" t="str">
        <f t="shared" ref="D38" si="36">DEC2BIN(D37,8)</f>
        <v>10110010</v>
      </c>
      <c r="E38" s="16" t="s">
        <v>19</v>
      </c>
      <c r="F38" s="7"/>
    </row>
    <row r="39" spans="1:9" outlineLevel="1" x14ac:dyDescent="0.25">
      <c r="A39" s="38" t="s">
        <v>9</v>
      </c>
      <c r="B39" s="1">
        <v>192</v>
      </c>
      <c r="C39" s="1">
        <v>168</v>
      </c>
      <c r="D39" s="1">
        <v>178</v>
      </c>
      <c r="E39" s="12">
        <f>BIN2DEC(E40)</f>
        <v>193</v>
      </c>
    </row>
    <row r="40" spans="1:9" outlineLevel="1" x14ac:dyDescent="0.25">
      <c r="A40" s="38"/>
      <c r="B40" s="6" t="str">
        <f>DEC2BIN(B39,8)</f>
        <v>11000000</v>
      </c>
      <c r="C40" s="6" t="str">
        <f t="shared" ref="C40" si="37">DEC2BIN(C39,8)</f>
        <v>10101000</v>
      </c>
      <c r="D40" s="6" t="str">
        <f t="shared" ref="D40" si="38">DEC2BIN(D39,8)</f>
        <v>10110010</v>
      </c>
      <c r="E40" s="13" t="s">
        <v>26</v>
      </c>
    </row>
    <row r="41" spans="1:9" outlineLevel="1" x14ac:dyDescent="0.25">
      <c r="A41" s="38" t="s">
        <v>13</v>
      </c>
      <c r="B41" s="1">
        <v>192</v>
      </c>
      <c r="C41" s="1">
        <v>168</v>
      </c>
      <c r="D41" s="1">
        <v>178</v>
      </c>
      <c r="E41" s="12">
        <f>BIN2DEC(E42)</f>
        <v>254</v>
      </c>
    </row>
    <row r="42" spans="1:9" outlineLevel="1" x14ac:dyDescent="0.25">
      <c r="A42" s="38"/>
      <c r="B42" s="6" t="str">
        <f>DEC2BIN(B41,8)</f>
        <v>11000000</v>
      </c>
      <c r="C42" s="6" t="str">
        <f t="shared" ref="C42" si="39">DEC2BIN(C41,8)</f>
        <v>10101000</v>
      </c>
      <c r="D42" s="6" t="str">
        <f t="shared" ref="D42" si="40">DEC2BIN(D41,8)</f>
        <v>10110010</v>
      </c>
      <c r="E42" s="13" t="s">
        <v>27</v>
      </c>
    </row>
    <row r="43" spans="1:9" outlineLevel="1" x14ac:dyDescent="0.25">
      <c r="A43" s="39" t="s">
        <v>14</v>
      </c>
      <c r="B43" s="10">
        <v>192</v>
      </c>
      <c r="C43" s="10">
        <v>168</v>
      </c>
      <c r="D43" s="10">
        <v>178</v>
      </c>
      <c r="E43" s="20">
        <f>BIN2DEC(E44)</f>
        <v>255</v>
      </c>
    </row>
    <row r="44" spans="1:9" outlineLevel="1" x14ac:dyDescent="0.25">
      <c r="A44" s="39"/>
      <c r="B44" s="19" t="str">
        <f>DEC2BIN(B43,8)</f>
        <v>11000000</v>
      </c>
      <c r="C44" s="19" t="str">
        <f t="shared" ref="C44" si="41">DEC2BIN(C43,8)</f>
        <v>10101000</v>
      </c>
      <c r="D44" s="19" t="str">
        <f t="shared" ref="D44" si="42">DEC2BIN(D43,8)</f>
        <v>10110010</v>
      </c>
      <c r="E44" s="18" t="s">
        <v>28</v>
      </c>
    </row>
  </sheetData>
  <mergeCells count="21">
    <mergeCell ref="A39:A40"/>
    <mergeCell ref="A41:A42"/>
    <mergeCell ref="A43:A44"/>
    <mergeCell ref="A29:A30"/>
    <mergeCell ref="A37:A38"/>
    <mergeCell ref="A1:A2"/>
    <mergeCell ref="A15:A16"/>
    <mergeCell ref="A17:A18"/>
    <mergeCell ref="A19:A20"/>
    <mergeCell ref="A23:A24"/>
    <mergeCell ref="A25:A26"/>
    <mergeCell ref="A27:A28"/>
    <mergeCell ref="A31:A32"/>
    <mergeCell ref="A33:A34"/>
    <mergeCell ref="A35:A36"/>
    <mergeCell ref="G21:H21"/>
    <mergeCell ref="A10:A11"/>
    <mergeCell ref="A4:A5"/>
    <mergeCell ref="A7:A8"/>
    <mergeCell ref="A13:A14"/>
    <mergeCell ref="A21:A2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759C-C26C-4227-9C7B-116FE04394BE}">
  <dimension ref="A1:K49"/>
  <sheetViews>
    <sheetView tabSelected="1" topLeftCell="A20" zoomScale="175" zoomScaleNormal="175" workbookViewId="0">
      <selection activeCell="F25" sqref="F25"/>
    </sheetView>
  </sheetViews>
  <sheetFormatPr baseColWidth="10" defaultRowHeight="15" x14ac:dyDescent="0.25"/>
  <cols>
    <col min="1" max="1" width="25" bestFit="1" customWidth="1"/>
    <col min="8" max="8" width="20.5703125" bestFit="1" customWidth="1"/>
  </cols>
  <sheetData>
    <row r="1" spans="1:11" ht="24" x14ac:dyDescent="0.4">
      <c r="A1" s="33" t="s">
        <v>36</v>
      </c>
      <c r="B1" s="33"/>
      <c r="C1" s="33"/>
      <c r="D1" s="33"/>
      <c r="E1" s="33"/>
      <c r="F1" s="33"/>
      <c r="G1" s="33"/>
      <c r="H1" s="33"/>
      <c r="I1" s="33"/>
    </row>
    <row r="3" spans="1:11" x14ac:dyDescent="0.25">
      <c r="A3" t="s">
        <v>38</v>
      </c>
      <c r="B3" s="1">
        <v>192</v>
      </c>
      <c r="C3" s="1">
        <v>168</v>
      </c>
      <c r="D3" s="1" t="s">
        <v>37</v>
      </c>
      <c r="E3" s="12">
        <v>0</v>
      </c>
      <c r="F3" s="2">
        <v>24</v>
      </c>
    </row>
    <row r="5" spans="1:11" x14ac:dyDescent="0.25">
      <c r="A5" s="7" t="s">
        <v>39</v>
      </c>
    </row>
    <row r="6" spans="1:11" x14ac:dyDescent="0.25">
      <c r="A6" t="s">
        <v>40</v>
      </c>
      <c r="B6" s="1">
        <v>192</v>
      </c>
      <c r="C6" s="1">
        <v>168</v>
      </c>
      <c r="D6" s="1" t="s">
        <v>37</v>
      </c>
      <c r="E6" s="12">
        <f>32*3</f>
        <v>96</v>
      </c>
      <c r="F6" s="2">
        <f>F3+3</f>
        <v>27</v>
      </c>
      <c r="G6" t="s">
        <v>58</v>
      </c>
      <c r="H6" s="48" t="s">
        <v>59</v>
      </c>
      <c r="I6" t="s">
        <v>60</v>
      </c>
      <c r="J6" s="50" t="s">
        <v>62</v>
      </c>
    </row>
    <row r="7" spans="1:11" x14ac:dyDescent="0.25">
      <c r="A7" t="s">
        <v>41</v>
      </c>
      <c r="B7" s="1">
        <v>255</v>
      </c>
      <c r="C7" s="1">
        <v>255</v>
      </c>
      <c r="D7" s="1">
        <v>255</v>
      </c>
      <c r="E7" s="29">
        <f>256-32</f>
        <v>224</v>
      </c>
      <c r="G7" t="s">
        <v>58</v>
      </c>
      <c r="H7" s="29" t="s">
        <v>63</v>
      </c>
      <c r="I7" t="s">
        <v>61</v>
      </c>
      <c r="J7" s="50"/>
    </row>
    <row r="9" spans="1:11" x14ac:dyDescent="0.25">
      <c r="A9" t="s">
        <v>42</v>
      </c>
      <c r="B9" t="s">
        <v>64</v>
      </c>
    </row>
    <row r="10" spans="1:11" x14ac:dyDescent="0.25">
      <c r="A10" t="s">
        <v>9</v>
      </c>
      <c r="B10" s="1">
        <v>192</v>
      </c>
      <c r="C10" s="1">
        <v>168</v>
      </c>
      <c r="D10" s="1" t="s">
        <v>37</v>
      </c>
      <c r="E10" s="12">
        <f>32*3+1</f>
        <v>97</v>
      </c>
    </row>
    <row r="11" spans="1:11" x14ac:dyDescent="0.25">
      <c r="A11" t="s">
        <v>43</v>
      </c>
      <c r="B11" s="1">
        <v>192</v>
      </c>
      <c r="C11" s="1">
        <v>168</v>
      </c>
      <c r="D11" s="1" t="s">
        <v>37</v>
      </c>
      <c r="E11" s="12">
        <f>32*4-2</f>
        <v>126</v>
      </c>
    </row>
    <row r="12" spans="1:11" x14ac:dyDescent="0.25">
      <c r="A12" t="s">
        <v>44</v>
      </c>
      <c r="B12" s="1">
        <v>192</v>
      </c>
      <c r="C12" s="1">
        <v>168</v>
      </c>
      <c r="D12" s="1" t="s">
        <v>37</v>
      </c>
      <c r="E12" s="12">
        <f>32*4-1</f>
        <v>127</v>
      </c>
    </row>
    <row r="14" spans="1:11" ht="24" x14ac:dyDescent="0.4">
      <c r="A14" s="33" t="s">
        <v>46</v>
      </c>
      <c r="B14" s="33"/>
      <c r="C14" s="33"/>
      <c r="D14" s="33"/>
      <c r="E14" s="33"/>
      <c r="F14" s="33"/>
      <c r="G14" s="33"/>
      <c r="H14" s="33"/>
      <c r="I14" s="33"/>
    </row>
    <row r="16" spans="1:11" ht="15" customHeight="1" x14ac:dyDescent="0.25">
      <c r="A16" t="s">
        <v>38</v>
      </c>
      <c r="B16" s="1">
        <v>192</v>
      </c>
      <c r="C16" s="1">
        <v>168</v>
      </c>
      <c r="D16" s="1" t="s">
        <v>37</v>
      </c>
      <c r="E16" s="12">
        <v>0</v>
      </c>
      <c r="F16" s="2">
        <v>26</v>
      </c>
      <c r="H16" t="s">
        <v>65</v>
      </c>
      <c r="I16" s="22">
        <v>64</v>
      </c>
      <c r="J16" s="51" t="s">
        <v>66</v>
      </c>
      <c r="K16" s="51"/>
    </row>
    <row r="17" spans="1:11" x14ac:dyDescent="0.25">
      <c r="J17" s="51"/>
      <c r="K17" s="51"/>
    </row>
    <row r="18" spans="1:11" x14ac:dyDescent="0.25">
      <c r="A18" s="7" t="s">
        <v>47</v>
      </c>
      <c r="B18" s="1"/>
      <c r="C18" s="1"/>
      <c r="D18" s="1"/>
      <c r="E18" s="52"/>
      <c r="J18" s="51"/>
      <c r="K18" s="51"/>
    </row>
    <row r="19" spans="1:11" x14ac:dyDescent="0.25">
      <c r="A19" t="s">
        <v>40</v>
      </c>
      <c r="B19" s="1">
        <v>192</v>
      </c>
      <c r="C19" s="1">
        <v>168</v>
      </c>
      <c r="D19" s="1" t="s">
        <v>37</v>
      </c>
      <c r="E19" s="12">
        <f>64*1</f>
        <v>64</v>
      </c>
    </row>
    <row r="20" spans="1:11" x14ac:dyDescent="0.25">
      <c r="A20" t="s">
        <v>41</v>
      </c>
      <c r="B20" s="1">
        <v>255</v>
      </c>
      <c r="C20" s="1">
        <v>255</v>
      </c>
      <c r="D20" s="1">
        <v>255</v>
      </c>
      <c r="E20" s="12">
        <f>256-I16</f>
        <v>192</v>
      </c>
    </row>
    <row r="22" spans="1:11" x14ac:dyDescent="0.25">
      <c r="A22" t="s">
        <v>49</v>
      </c>
      <c r="B22" t="s">
        <v>67</v>
      </c>
    </row>
    <row r="23" spans="1:11" x14ac:dyDescent="0.25">
      <c r="A23" t="s">
        <v>9</v>
      </c>
      <c r="B23" s="1">
        <v>192</v>
      </c>
      <c r="C23" s="1">
        <v>168</v>
      </c>
      <c r="D23" s="1" t="s">
        <v>37</v>
      </c>
      <c r="E23" s="12">
        <f>64*1+1</f>
        <v>65</v>
      </c>
    </row>
    <row r="24" spans="1:11" x14ac:dyDescent="0.25">
      <c r="A24" t="s">
        <v>43</v>
      </c>
      <c r="B24" s="1">
        <v>192</v>
      </c>
      <c r="C24" s="1">
        <v>168</v>
      </c>
      <c r="D24" s="1" t="s">
        <v>37</v>
      </c>
      <c r="E24" s="12">
        <f>64*2-2</f>
        <v>126</v>
      </c>
    </row>
    <row r="25" spans="1:11" x14ac:dyDescent="0.25">
      <c r="A25" t="s">
        <v>44</v>
      </c>
      <c r="B25" s="1">
        <v>192</v>
      </c>
      <c r="C25" s="1">
        <v>168</v>
      </c>
      <c r="D25" s="1" t="s">
        <v>37</v>
      </c>
      <c r="E25" s="12">
        <f>64*2-1</f>
        <v>127</v>
      </c>
    </row>
    <row r="26" spans="1:11" ht="24" x14ac:dyDescent="0.4">
      <c r="A26" s="33" t="s">
        <v>45</v>
      </c>
      <c r="B26" s="33"/>
      <c r="C26" s="33"/>
      <c r="D26" s="33"/>
      <c r="E26" s="33"/>
      <c r="F26" s="33"/>
      <c r="G26" s="33"/>
      <c r="H26" s="33"/>
      <c r="I26" s="33"/>
    </row>
    <row r="28" spans="1:11" x14ac:dyDescent="0.25">
      <c r="B28" s="41">
        <v>192</v>
      </c>
      <c r="C28" s="41">
        <v>168</v>
      </c>
      <c r="D28" s="41">
        <v>18</v>
      </c>
      <c r="E28" s="42">
        <v>15</v>
      </c>
      <c r="F28" s="43">
        <v>27</v>
      </c>
      <c r="H28" t="s">
        <v>50</v>
      </c>
    </row>
    <row r="29" spans="1:11" x14ac:dyDescent="0.25">
      <c r="B29" s="41">
        <v>192</v>
      </c>
      <c r="C29" s="41">
        <v>168</v>
      </c>
      <c r="D29" s="41">
        <v>18</v>
      </c>
      <c r="E29" s="42">
        <v>68</v>
      </c>
      <c r="F29" s="43">
        <v>27</v>
      </c>
      <c r="H29" s="40">
        <f>2^(32-F28)</f>
        <v>32</v>
      </c>
    </row>
    <row r="30" spans="1:11" x14ac:dyDescent="0.25">
      <c r="K30" t="s">
        <v>51</v>
      </c>
    </row>
    <row r="31" spans="1:11" x14ac:dyDescent="0.25">
      <c r="B31" s="41">
        <v>192</v>
      </c>
      <c r="C31" s="41">
        <v>168</v>
      </c>
      <c r="D31" s="41">
        <v>18</v>
      </c>
      <c r="E31" s="42">
        <v>239</v>
      </c>
      <c r="F31" s="43">
        <v>27</v>
      </c>
      <c r="H31" s="40">
        <v>32</v>
      </c>
      <c r="J31">
        <f>E31/32</f>
        <v>7.46875</v>
      </c>
      <c r="K31">
        <f>ROUNDDOWN(J31,0)*H31</f>
        <v>224</v>
      </c>
    </row>
    <row r="32" spans="1:11" x14ac:dyDescent="0.25">
      <c r="B32" s="41">
        <v>192</v>
      </c>
      <c r="C32" s="41">
        <v>168</v>
      </c>
      <c r="D32" s="41">
        <v>18</v>
      </c>
      <c r="E32" s="42">
        <v>105</v>
      </c>
      <c r="F32" s="43">
        <v>27</v>
      </c>
      <c r="J32">
        <f>E32/32</f>
        <v>3.28125</v>
      </c>
      <c r="K32">
        <f>ROUNDDOWN(J32,0)*H31</f>
        <v>96</v>
      </c>
    </row>
    <row r="34" spans="1:11" x14ac:dyDescent="0.25">
      <c r="B34" s="41">
        <v>192</v>
      </c>
      <c r="C34" s="41">
        <v>168</v>
      </c>
      <c r="D34" s="41">
        <v>18</v>
      </c>
      <c r="E34" s="42">
        <v>241</v>
      </c>
      <c r="F34" s="43">
        <v>28</v>
      </c>
      <c r="H34" s="40">
        <f>2^(32-F34)</f>
        <v>16</v>
      </c>
      <c r="J34">
        <f>E34/16</f>
        <v>15.0625</v>
      </c>
      <c r="K34">
        <f>ROUNDDOWN(J34,0)*H34</f>
        <v>240</v>
      </c>
    </row>
    <row r="35" spans="1:11" x14ac:dyDescent="0.25">
      <c r="B35" s="41">
        <v>192</v>
      </c>
      <c r="C35" s="41">
        <v>168</v>
      </c>
      <c r="D35" s="41">
        <v>18</v>
      </c>
      <c r="E35" s="42">
        <v>71</v>
      </c>
      <c r="F35" s="43">
        <v>28</v>
      </c>
      <c r="J35">
        <f>E35/16</f>
        <v>4.4375</v>
      </c>
      <c r="K35">
        <f>ROUNDDOWN(J35,0)*H34</f>
        <v>64</v>
      </c>
    </row>
    <row r="37" spans="1:11" x14ac:dyDescent="0.25">
      <c r="B37" s="44">
        <v>192</v>
      </c>
      <c r="C37" s="44">
        <v>168</v>
      </c>
      <c r="D37" s="44">
        <v>18</v>
      </c>
      <c r="E37" s="45">
        <v>87</v>
      </c>
      <c r="F37" s="46">
        <v>26</v>
      </c>
      <c r="H37" s="40">
        <f>2^(32-F37)</f>
        <v>64</v>
      </c>
      <c r="J37">
        <f>E37/64</f>
        <v>1.359375</v>
      </c>
      <c r="K37">
        <f>ROUNDDOWN(J37,0)*H37</f>
        <v>64</v>
      </c>
    </row>
    <row r="38" spans="1:11" x14ac:dyDescent="0.25">
      <c r="B38" s="44">
        <v>192</v>
      </c>
      <c r="C38" s="44">
        <v>168</v>
      </c>
      <c r="D38" s="44">
        <v>18</v>
      </c>
      <c r="E38" s="45">
        <v>84</v>
      </c>
      <c r="F38" s="46">
        <v>26</v>
      </c>
      <c r="J38">
        <f>E38/64</f>
        <v>1.3125</v>
      </c>
      <c r="K38">
        <f>ROUNDDOWN(J38,0)*H37</f>
        <v>64</v>
      </c>
    </row>
    <row r="40" spans="1:11" x14ac:dyDescent="0.25">
      <c r="B40" s="41">
        <v>192</v>
      </c>
      <c r="C40" s="41">
        <v>168</v>
      </c>
      <c r="D40" s="41">
        <v>18</v>
      </c>
      <c r="E40" s="42">
        <v>104</v>
      </c>
      <c r="F40" s="43">
        <v>28</v>
      </c>
      <c r="H40" s="40">
        <f>2^(32-F40)</f>
        <v>16</v>
      </c>
      <c r="J40">
        <f>E40/16</f>
        <v>6.5</v>
      </c>
      <c r="K40">
        <f>ROUNDDOWN(J40,0)*H40</f>
        <v>96</v>
      </c>
    </row>
    <row r="41" spans="1:11" x14ac:dyDescent="0.25">
      <c r="B41" s="41">
        <v>192</v>
      </c>
      <c r="C41" s="41">
        <v>168</v>
      </c>
      <c r="D41" s="41">
        <v>18</v>
      </c>
      <c r="E41" s="42">
        <v>141</v>
      </c>
      <c r="F41" s="43">
        <v>28</v>
      </c>
      <c r="J41">
        <f>E41/16</f>
        <v>8.8125</v>
      </c>
      <c r="K41">
        <f>ROUNDDOWN(J41,0)*H40</f>
        <v>128</v>
      </c>
    </row>
    <row r="43" spans="1:11" x14ac:dyDescent="0.25">
      <c r="B43" s="48" t="s">
        <v>52</v>
      </c>
      <c r="C43" s="48" t="s">
        <v>52</v>
      </c>
      <c r="D43" s="48" t="s">
        <v>54</v>
      </c>
      <c r="E43" s="48" t="s">
        <v>53</v>
      </c>
      <c r="F43" s="47">
        <v>19</v>
      </c>
      <c r="H43">
        <f>2^(24-19)</f>
        <v>32</v>
      </c>
    </row>
    <row r="44" spans="1:11" x14ac:dyDescent="0.25">
      <c r="B44" s="48" t="s">
        <v>52</v>
      </c>
      <c r="C44" s="48" t="s">
        <v>52</v>
      </c>
      <c r="D44" s="48" t="s">
        <v>52</v>
      </c>
      <c r="E44" s="48" t="s">
        <v>54</v>
      </c>
      <c r="F44" s="47">
        <v>27</v>
      </c>
    </row>
    <row r="46" spans="1:11" x14ac:dyDescent="0.25">
      <c r="A46" s="29" t="s">
        <v>55</v>
      </c>
      <c r="B46" s="1">
        <v>10</v>
      </c>
      <c r="C46" s="49">
        <v>0</v>
      </c>
      <c r="D46" s="49">
        <v>0</v>
      </c>
      <c r="E46" s="12">
        <v>0</v>
      </c>
      <c r="F46" s="2">
        <v>8</v>
      </c>
    </row>
    <row r="47" spans="1:11" x14ac:dyDescent="0.25">
      <c r="A47" s="29" t="s">
        <v>56</v>
      </c>
      <c r="B47" s="1">
        <v>172</v>
      </c>
      <c r="C47" s="49">
        <v>16</v>
      </c>
      <c r="D47" s="49">
        <v>0</v>
      </c>
      <c r="E47" s="12">
        <v>0</v>
      </c>
      <c r="F47" s="2">
        <v>12</v>
      </c>
      <c r="G47" s="2">
        <v>16</v>
      </c>
    </row>
    <row r="48" spans="1:11" x14ac:dyDescent="0.25">
      <c r="B48" s="1">
        <v>172</v>
      </c>
      <c r="C48" s="49">
        <v>31</v>
      </c>
      <c r="D48" s="49">
        <v>0</v>
      </c>
      <c r="E48" s="12">
        <v>0</v>
      </c>
    </row>
    <row r="49" spans="1:7" x14ac:dyDescent="0.25">
      <c r="A49" s="22" t="s">
        <v>57</v>
      </c>
      <c r="B49" s="1">
        <v>192</v>
      </c>
      <c r="C49" s="49">
        <v>168</v>
      </c>
      <c r="D49" s="49">
        <v>0</v>
      </c>
      <c r="E49" s="12">
        <v>0</v>
      </c>
      <c r="F49" s="2">
        <v>16</v>
      </c>
      <c r="G49" s="2">
        <v>24</v>
      </c>
    </row>
  </sheetData>
  <mergeCells count="5">
    <mergeCell ref="A1:I1"/>
    <mergeCell ref="A26:I26"/>
    <mergeCell ref="A14:I14"/>
    <mergeCell ref="J6:J7"/>
    <mergeCell ref="J16:K18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55DCE652C8AD4696A873B53CCA776C" ma:contentTypeVersion="3" ma:contentTypeDescription="Ein neues Dokument erstellen." ma:contentTypeScope="" ma:versionID="ec0a0d248e550b94956dce53109198e0">
  <xsd:schema xmlns:xsd="http://www.w3.org/2001/XMLSchema" xmlns:xs="http://www.w3.org/2001/XMLSchema" xmlns:p="http://schemas.microsoft.com/office/2006/metadata/properties" xmlns:ns2="b2bcf77a-db99-4c6d-8596-ee1fc4b01288" targetNamespace="http://schemas.microsoft.com/office/2006/metadata/properties" ma:root="true" ma:fieldsID="9caef3849036097daf4185f877cc1448" ns2:_="">
    <xsd:import namespace="b2bcf77a-db99-4c6d-8596-ee1fc4b01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cf77a-db99-4c6d-8596-ee1fc4b0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EFCD02-4798-4562-98CC-4737789520AA}"/>
</file>

<file path=customXml/itemProps2.xml><?xml version="1.0" encoding="utf-8"?>
<ds:datastoreItem xmlns:ds="http://schemas.openxmlformats.org/officeDocument/2006/customXml" ds:itemID="{49E7C596-1F27-4B5F-9DC4-92D5C6DCDC2D}"/>
</file>

<file path=customXml/itemProps3.xml><?xml version="1.0" encoding="utf-8"?>
<ds:datastoreItem xmlns:ds="http://schemas.openxmlformats.org/officeDocument/2006/customXml" ds:itemID="{E3F1AFE0-4CA2-4017-8B7F-120D2473122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Übung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Meisel, Sebastian</dc:creator>
  <cp:lastModifiedBy>Meisel, Sebastian</cp:lastModifiedBy>
  <dcterms:created xsi:type="dcterms:W3CDTF">2026-08-31T07:43:40Z</dcterms:created>
  <dcterms:modified xsi:type="dcterms:W3CDTF">2026-09-04T12:20:59Z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0x010100A955DCE652C8AD4696A873B53CCA776C</vt:lpwstr>
  </property>
</Properties>
</file>